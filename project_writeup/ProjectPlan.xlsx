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codeName="ThisWorkbook"/>
  <xr:revisionPtr revIDLastSave="0" documentId="13_ncr:11_{1CDC5D19-6E2A-4925-8F25-230584881045}" xr6:coauthVersionLast="47" xr6:coauthVersionMax="47" xr10:uidLastSave="{00000000-0000-0000-0000-000000000000}"/>
  <bookViews>
    <workbookView xWindow="-120" yWindow="-120" windowWidth="29040" windowHeight="158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1" l="1"/>
  <c r="F20" i="11" s="1"/>
  <c r="E20" i="11"/>
  <c r="E19" i="11"/>
  <c r="E17" i="11"/>
  <c r="F12" i="11"/>
  <c r="E13" i="11" s="1"/>
  <c r="F13" i="11" s="1"/>
  <c r="E3" i="11"/>
  <c r="H7" i="11"/>
  <c r="E9" i="11" l="1"/>
  <c r="F9" i="11" s="1"/>
  <c r="E10" i="11" s="1"/>
  <c r="F10" i="11" s="1"/>
  <c r="I5" i="11"/>
  <c r="H22" i="11"/>
  <c r="H21" i="11"/>
  <c r="H20" i="11"/>
  <c r="H18" i="11"/>
  <c r="H15" i="11"/>
  <c r="H11" i="11"/>
  <c r="H8" i="11"/>
  <c r="H9" i="11" l="1"/>
  <c r="I6" i="11"/>
  <c r="H19" i="11" l="1"/>
  <c r="H10" i="11"/>
  <c r="E14" i="11"/>
  <c r="F14" i="11" s="1"/>
  <c r="E16" i="11" s="1"/>
  <c r="F16" i="11" s="1"/>
  <c r="F17" i="11" s="1"/>
  <c r="H12" i="11"/>
  <c r="J5" i="11"/>
  <c r="K5" i="11" s="1"/>
  <c r="L5" i="11" s="1"/>
  <c r="M5" i="11" s="1"/>
  <c r="N5" i="11" s="1"/>
  <c r="O5" i="11" s="1"/>
  <c r="P5" i="11" s="1"/>
  <c r="I4" i="11"/>
  <c r="H16" i="11" l="1"/>
  <c r="H17" i="11"/>
  <c r="H13" i="11"/>
  <c r="P4" i="11"/>
  <c r="Q5" i="11"/>
  <c r="R5" i="11" s="1"/>
  <c r="S5" i="11" s="1"/>
  <c r="T5" i="11" s="1"/>
  <c r="U5" i="11" s="1"/>
  <c r="V5" i="11" s="1"/>
  <c r="W5" i="11" s="1"/>
  <c r="J6" i="11"/>
  <c r="H14"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<sst xmlns="http://schemas.openxmlformats.org/spreadsheetml/2006/main" count="54" uniqueCount="53">
  <si>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</si>
  <si>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</si>
  <si>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</si>
  <si>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</si>
  <si>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</si>
  <si>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</si>
  <si>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</si>
  <si>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</si>
  <si>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</si>
  <si>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</si>
  <si>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</si>
  <si>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</si>
  <si>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</si>
  <si>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</si>
  <si>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</si>
  <si>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Insert new rows ABOVE this one</t>
  </si>
  <si>
    <t>Project Start:</t>
  </si>
  <si>
    <t>Display Week:</t>
  </si>
  <si>
    <t>ASSIGNED
TO</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</si>
  <si>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</si>
  <si>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</si>
  <si>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</si>
  <si>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</si>
  <si>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</si>
  <si>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</si>
  <si>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</si>
  <si>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</si>
  <si>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</si>
  <si>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</si>
  <si>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</si>
  <si>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</si>
  <si>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</si>
  <si>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</si>
  <si>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</si>
  <si>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</si>
  <si>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</si>
  <si>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</si>
  <si>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</si>
  <si>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An investigation into the effectiveness of various algorithms to help check spelling of English words.</t>
  </si>
  <si>
    <t>Matthew Camus</t>
  </si>
  <si>
    <t>Phase 1: Research</t>
  </si>
  <si>
    <t>Look into string store and search methods</t>
  </si>
  <si>
    <t>Look into word filtering / spell check algorithms</t>
  </si>
  <si>
    <t>Phase 2: Development of software</t>
  </si>
  <si>
    <t>Develop function to take English corpus</t>
  </si>
  <si>
    <t>Assess different search algorithms</t>
  </si>
  <si>
    <t>Develop a graphical interface</t>
  </si>
  <si>
    <t>Phase 3: Testing</t>
  </si>
  <si>
    <t>Develop automated tests</t>
  </si>
  <si>
    <t>Perform user tests</t>
  </si>
  <si>
    <t>Phase 4: Extension and Evaluation</t>
  </si>
  <si>
    <t>Develop extension grammar function</t>
  </si>
  <si>
    <t>Finalise format of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</si>
</sst>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5"/>
  <sheetViews>
    <sheetView showGridLines="0" tabSelected="1" showRuler="0" zoomScaleNormal="100" zoomScalePageLayoutView="70" workbookViewId="0">
      <pane ySplit="6" topLeftCell="A8" activePane="bottomLeft" state="frozen"/>
      <selection pane="bottomLeft" activeCell="E5" sqref="E5"/>
    </sheetView>
  </sheetViews>
  <sheetFormatPr defaultRowHeight="30" customHeight="1" x14ac:dyDescent="0.25"/>
  <cols>
    <col min="1" max="1" width="2.7109375" style="45" customWidth="1"/>
    <col min="2" max="2" width="19.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6" t="s">
        <v>0</v>
      </c>
      <c r="B1" s="49" t="s">
        <v>38</v>
      </c>
      <c r="C1" s="1"/>
      <c r="D1" s="2"/>
      <c r="E1" s="4"/>
      <c r="F1" s="34"/>
      <c r="H1" s="2"/>
      <c r="I1" s="67"/>
    </row>
    <row r="2" spans="1:64" ht="30" customHeight="1" x14ac:dyDescent="0.3">
      <c r="A2" s="45" t="s">
        <v>1</v>
      </c>
      <c r="B2" s="50"/>
      <c r="I2" s="68"/>
    </row>
    <row r="3" spans="1:64" ht="30" customHeight="1" x14ac:dyDescent="0.25">
      <c r="A3" s="45" t="s">
        <v>2</v>
      </c>
      <c r="B3" s="51" t="s">
        <v>39</v>
      </c>
      <c r="C3" s="92" t="s">
        <v>16</v>
      </c>
      <c r="D3" s="93"/>
      <c r="E3" s="91">
        <f ca="1">TODAY()</f>
        <v>45245</v>
      </c>
      <c r="F3" s="91"/>
    </row>
    <row r="4" spans="1:64" ht="30" customHeight="1" x14ac:dyDescent="0.25">
      <c r="A4" s="46" t="s">
        <v>3</v>
      </c>
      <c r="C4" s="92" t="s">
        <v>17</v>
      </c>
      <c r="D4" s="93"/>
      <c r="E4" s="7">
        <v>1</v>
      </c>
      <c r="I4" s="88">
        <f ca="1">I5</f>
        <v>45243</v>
      </c>
      <c r="J4" s="89"/>
      <c r="K4" s="89"/>
      <c r="L4" s="89"/>
      <c r="M4" s="89"/>
      <c r="N4" s="89"/>
      <c r="O4" s="90"/>
      <c r="P4" s="88">
        <f ca="1">P5</f>
        <v>45250</v>
      </c>
      <c r="Q4" s="89"/>
      <c r="R4" s="89"/>
      <c r="S4" s="89"/>
      <c r="T4" s="89"/>
      <c r="U4" s="89"/>
      <c r="V4" s="90"/>
      <c r="W4" s="88">
        <f ca="1">W5</f>
        <v>45257</v>
      </c>
      <c r="X4" s="89"/>
      <c r="Y4" s="89"/>
      <c r="Z4" s="89"/>
      <c r="AA4" s="89"/>
      <c r="AB4" s="89"/>
      <c r="AC4" s="90"/>
      <c r="AD4" s="88">
        <f ca="1">AD5</f>
        <v>45264</v>
      </c>
      <c r="AE4" s="89"/>
      <c r="AF4" s="89"/>
      <c r="AG4" s="89"/>
      <c r="AH4" s="89"/>
      <c r="AI4" s="89"/>
      <c r="AJ4" s="90"/>
      <c r="AK4" s="88">
        <f ca="1">AK5</f>
        <v>45271</v>
      </c>
      <c r="AL4" s="89"/>
      <c r="AM4" s="89"/>
      <c r="AN4" s="89"/>
      <c r="AO4" s="89"/>
      <c r="AP4" s="89"/>
      <c r="AQ4" s="90"/>
      <c r="AR4" s="88">
        <f ca="1">AR5</f>
        <v>45278</v>
      </c>
      <c r="AS4" s="89"/>
      <c r="AT4" s="89"/>
      <c r="AU4" s="89"/>
      <c r="AV4" s="89"/>
      <c r="AW4" s="89"/>
      <c r="AX4" s="90"/>
      <c r="AY4" s="88">
        <f ca="1">AY5</f>
        <v>45285</v>
      </c>
      <c r="AZ4" s="89"/>
      <c r="BA4" s="89"/>
      <c r="BB4" s="89"/>
      <c r="BC4" s="89"/>
      <c r="BD4" s="89"/>
      <c r="BE4" s="90"/>
      <c r="BF4" s="88">
        <f ca="1">BF5</f>
        <v>45292</v>
      </c>
      <c r="BG4" s="89"/>
      <c r="BH4" s="89"/>
      <c r="BI4" s="89"/>
      <c r="BJ4" s="89"/>
      <c r="BK4" s="89"/>
      <c r="BL4" s="90"/>
    </row>
    <row r="5" spans="1:64" ht="15" customHeight="1" x14ac:dyDescent="0.25">
      <c r="A5" s="46" t="s">
        <v>4</v>
      </c>
      <c r="B5" s="66"/>
      <c r="C5" s="66"/>
      <c r="D5" s="66"/>
      <c r="E5" s="66"/>
      <c r="F5" s="66"/>
      <c r="G5" s="66"/>
      <c r="I5" s="85">
        <f ca="1">Project_Start-WEEKDAY(Project_Start,1)+2+7*(Display_Week-1)</f>
        <v>45243</v>
      </c>
      <c r="J5" s="86">
        <f ca="1">I5+1</f>
        <v>45244</v>
      </c>
      <c r="K5" s="86">
        <f t="shared" ref="K5:AX5" ca="1" si="0">J5+1</f>
        <v>45245</v>
      </c>
      <c r="L5" s="86">
        <f t="shared" ca="1" si="0"/>
        <v>45246</v>
      </c>
      <c r="M5" s="86">
        <f t="shared" ca="1" si="0"/>
        <v>45247</v>
      </c>
      <c r="N5" s="86">
        <f t="shared" ca="1" si="0"/>
        <v>45248</v>
      </c>
      <c r="O5" s="87">
        <f t="shared" ca="1" si="0"/>
        <v>45249</v>
      </c>
      <c r="P5" s="85">
        <f ca="1">O5+1</f>
        <v>45250</v>
      </c>
      <c r="Q5" s="86">
        <f ca="1">P5+1</f>
        <v>45251</v>
      </c>
      <c r="R5" s="86">
        <f t="shared" ca="1" si="0"/>
        <v>45252</v>
      </c>
      <c r="S5" s="86">
        <f t="shared" ca="1" si="0"/>
        <v>45253</v>
      </c>
      <c r="T5" s="86">
        <f t="shared" ca="1" si="0"/>
        <v>45254</v>
      </c>
      <c r="U5" s="86">
        <f t="shared" ca="1" si="0"/>
        <v>45255</v>
      </c>
      <c r="V5" s="87">
        <f t="shared" ca="1" si="0"/>
        <v>45256</v>
      </c>
      <c r="W5" s="85">
        <f ca="1">V5+1</f>
        <v>45257</v>
      </c>
      <c r="X5" s="86">
        <f ca="1">W5+1</f>
        <v>45258</v>
      </c>
      <c r="Y5" s="86">
        <f t="shared" ca="1" si="0"/>
        <v>45259</v>
      </c>
      <c r="Z5" s="86">
        <f t="shared" ca="1" si="0"/>
        <v>45260</v>
      </c>
      <c r="AA5" s="86">
        <f t="shared" ca="1" si="0"/>
        <v>45261</v>
      </c>
      <c r="AB5" s="86">
        <f t="shared" ca="1" si="0"/>
        <v>45262</v>
      </c>
      <c r="AC5" s="87">
        <f t="shared" ca="1" si="0"/>
        <v>45263</v>
      </c>
      <c r="AD5" s="85">
        <f ca="1">AC5+1</f>
        <v>45264</v>
      </c>
      <c r="AE5" s="86">
        <f ca="1">AD5+1</f>
        <v>45265</v>
      </c>
      <c r="AF5" s="86">
        <f t="shared" ca="1" si="0"/>
        <v>45266</v>
      </c>
      <c r="AG5" s="86">
        <f t="shared" ca="1" si="0"/>
        <v>45267</v>
      </c>
      <c r="AH5" s="86">
        <f t="shared" ca="1" si="0"/>
        <v>45268</v>
      </c>
      <c r="AI5" s="86">
        <f t="shared" ca="1" si="0"/>
        <v>45269</v>
      </c>
      <c r="AJ5" s="87">
        <f t="shared" ca="1" si="0"/>
        <v>45270</v>
      </c>
      <c r="AK5" s="85">
        <f ca="1">AJ5+1</f>
        <v>45271</v>
      </c>
      <c r="AL5" s="86">
        <f ca="1">AK5+1</f>
        <v>45272</v>
      </c>
      <c r="AM5" s="86">
        <f t="shared" ca="1" si="0"/>
        <v>45273</v>
      </c>
      <c r="AN5" s="86">
        <f t="shared" ca="1" si="0"/>
        <v>45274</v>
      </c>
      <c r="AO5" s="86">
        <f t="shared" ca="1" si="0"/>
        <v>45275</v>
      </c>
      <c r="AP5" s="86">
        <f t="shared" ca="1" si="0"/>
        <v>45276</v>
      </c>
      <c r="AQ5" s="87">
        <f t="shared" ca="1" si="0"/>
        <v>45277</v>
      </c>
      <c r="AR5" s="85">
        <f ca="1">AQ5+1</f>
        <v>45278</v>
      </c>
      <c r="AS5" s="86">
        <f ca="1">AR5+1</f>
        <v>45279</v>
      </c>
      <c r="AT5" s="86">
        <f t="shared" ca="1" si="0"/>
        <v>45280</v>
      </c>
      <c r="AU5" s="86">
        <f t="shared" ca="1" si="0"/>
        <v>45281</v>
      </c>
      <c r="AV5" s="86">
        <f t="shared" ca="1" si="0"/>
        <v>45282</v>
      </c>
      <c r="AW5" s="86">
        <f t="shared" ca="1" si="0"/>
        <v>45283</v>
      </c>
      <c r="AX5" s="87">
        <f t="shared" ca="1" si="0"/>
        <v>45284</v>
      </c>
      <c r="AY5" s="85">
        <f ca="1">AX5+1</f>
        <v>45285</v>
      </c>
      <c r="AZ5" s="86">
        <f ca="1">AY5+1</f>
        <v>45286</v>
      </c>
      <c r="BA5" s="86">
        <f t="shared" ref="BA5:BE5" ca="1" si="1">AZ5+1</f>
        <v>45287</v>
      </c>
      <c r="BB5" s="86">
        <f t="shared" ca="1" si="1"/>
        <v>45288</v>
      </c>
      <c r="BC5" s="86">
        <f t="shared" ca="1" si="1"/>
        <v>45289</v>
      </c>
      <c r="BD5" s="86">
        <f t="shared" ca="1" si="1"/>
        <v>45290</v>
      </c>
      <c r="BE5" s="87">
        <f t="shared" ca="1" si="1"/>
        <v>45291</v>
      </c>
      <c r="BF5" s="85">
        <f ca="1">BE5+1</f>
        <v>45292</v>
      </c>
      <c r="BG5" s="86">
        <f ca="1">BF5+1</f>
        <v>45293</v>
      </c>
      <c r="BH5" s="86">
        <f t="shared" ref="BH5:BL5" ca="1" si="2">BG5+1</f>
        <v>45294</v>
      </c>
      <c r="BI5" s="86">
        <f t="shared" ca="1" si="2"/>
        <v>45295</v>
      </c>
      <c r="BJ5" s="86">
        <f t="shared" ca="1" si="2"/>
        <v>45296</v>
      </c>
      <c r="BK5" s="86">
        <f t="shared" ca="1" si="2"/>
        <v>45297</v>
      </c>
      <c r="BL5" s="87">
        <f t="shared" ca="1" si="2"/>
        <v>45298</v>
      </c>
    </row>
    <row r="6" spans="1:64" ht="30" customHeight="1" thickBot="1" x14ac:dyDescent="0.3">
      <c r="A6" s="46" t="s">
        <v>5</v>
      </c>
      <c r="B6" s="8" t="s">
        <v>14</v>
      </c>
      <c r="C6" s="9" t="s">
        <v>18</v>
      </c>
      <c r="D6" s="9" t="s">
        <v>19</v>
      </c>
      <c r="E6" s="9" t="s">
        <v>20</v>
      </c>
      <c r="F6" s="9" t="s">
        <v>21</v>
      </c>
      <c r="G6" s="9"/>
      <c r="H6" s="9" t="s">
        <v>22</v>
      </c>
      <c r="I6" s="10" t="str">
        <f t="shared" ref="I6" ca="1" si="3">LEFT(TEXT(I5,"ddd"),1)</f>
        <v>M</v>
      </c>
      <c r="J6" s="10" t="str">
        <f t="shared" ref="J6:AR6" ca="1" si="4">LEFT(TEXT(J5,"ddd"),1)</f>
        <v>T</v>
      </c>
      <c r="K6" s="10" t="str">
        <f t="shared" ca="1" si="4"/>
        <v>W</v>
      </c>
      <c r="L6" s="10" t="str">
        <f t="shared" ca="1" si="4"/>
        <v>T</v>
      </c>
      <c r="M6" s="10" t="str">
        <f t="shared" ca="1" si="4"/>
        <v>F</v>
      </c>
      <c r="N6" s="10" t="str">
        <f t="shared" ca="1" si="4"/>
        <v>S</v>
      </c>
      <c r="O6" s="10" t="str">
        <f t="shared" ca="1" si="4"/>
        <v>S</v>
      </c>
      <c r="P6" s="10" t="str">
        <f t="shared" ca="1" si="4"/>
        <v>M</v>
      </c>
      <c r="Q6" s="10" t="str">
        <f t="shared" ca="1" si="4"/>
        <v>T</v>
      </c>
      <c r="R6" s="10" t="str">
        <f t="shared" ca="1" si="4"/>
        <v>W</v>
      </c>
      <c r="S6" s="10" t="str">
        <f t="shared" ca="1" si="4"/>
        <v>T</v>
      </c>
      <c r="T6" s="10" t="str">
        <f t="shared" ca="1" si="4"/>
        <v>F</v>
      </c>
      <c r="U6" s="10" t="str">
        <f t="shared" ca="1" si="4"/>
        <v>S</v>
      </c>
      <c r="V6" s="10" t="str">
        <f t="shared" ca="1" si="4"/>
        <v>S</v>
      </c>
      <c r="W6" s="10" t="str">
        <f t="shared" ca="1" si="4"/>
        <v>M</v>
      </c>
      <c r="X6" s="10" t="str">
        <f t="shared" ca="1" si="4"/>
        <v>T</v>
      </c>
      <c r="Y6" s="10" t="str">
        <f t="shared" ca="1" si="4"/>
        <v>W</v>
      </c>
      <c r="Z6" s="10" t="str">
        <f t="shared" ca="1" si="4"/>
        <v>T</v>
      </c>
      <c r="AA6" s="10" t="str">
        <f t="shared" ca="1" si="4"/>
        <v>F</v>
      </c>
      <c r="AB6" s="10" t="str">
        <f t="shared" ca="1" si="4"/>
        <v>S</v>
      </c>
      <c r="AC6" s="10" t="str">
        <f t="shared" ca="1" si="4"/>
        <v>S</v>
      </c>
      <c r="AD6" s="10" t="str">
        <f t="shared" ca="1" si="4"/>
        <v>M</v>
      </c>
      <c r="AE6" s="10" t="str">
        <f t="shared" ca="1" si="4"/>
        <v>T</v>
      </c>
      <c r="AF6" s="10" t="str">
        <f t="shared" ca="1" si="4"/>
        <v>W</v>
      </c>
      <c r="AG6" s="10" t="str">
        <f t="shared" ca="1" si="4"/>
        <v>T</v>
      </c>
      <c r="AH6" s="10" t="str">
        <f t="shared" ca="1" si="4"/>
        <v>F</v>
      </c>
      <c r="AI6" s="10" t="str">
        <f t="shared" ca="1" si="4"/>
        <v>S</v>
      </c>
      <c r="AJ6" s="10" t="str">
        <f t="shared" ca="1" si="4"/>
        <v>S</v>
      </c>
      <c r="AK6" s="10" t="str">
        <f t="shared" ca="1" si="4"/>
        <v>M</v>
      </c>
      <c r="AL6" s="10" t="str">
        <f t="shared" ca="1" si="4"/>
        <v>T</v>
      </c>
      <c r="AM6" s="10" t="str">
        <f t="shared" ca="1" si="4"/>
        <v>W</v>
      </c>
      <c r="AN6" s="10" t="str">
        <f t="shared" ca="1" si="4"/>
        <v>T</v>
      </c>
      <c r="AO6" s="10" t="str">
        <f t="shared" ca="1" si="4"/>
        <v>F</v>
      </c>
      <c r="AP6" s="10" t="str">
        <f t="shared" ca="1" si="4"/>
        <v>S</v>
      </c>
      <c r="AQ6" s="10" t="str">
        <f t="shared" ca="1" si="4"/>
        <v>S</v>
      </c>
      <c r="AR6" s="10" t="str">
        <f t="shared" ca="1" si="4"/>
        <v>M</v>
      </c>
      <c r="AS6" s="10" t="str">
        <f t="shared" ref="AS6:BL6" ca="1" si="5">LEFT(TEXT(AS5,"ddd"),1)</f>
        <v>T</v>
      </c>
      <c r="AT6" s="10" t="str">
        <f t="shared" ca="1" si="5"/>
        <v>W</v>
      </c>
      <c r="AU6" s="10" t="str">
        <f t="shared" ca="1" si="5"/>
        <v>T</v>
      </c>
      <c r="AV6" s="10" t="str">
        <f t="shared" ca="1" si="5"/>
        <v>F</v>
      </c>
      <c r="AW6" s="10" t="str">
        <f t="shared" ca="1" si="5"/>
        <v>S</v>
      </c>
      <c r="AX6" s="10" t="str">
        <f t="shared" ca="1" si="5"/>
        <v>S</v>
      </c>
      <c r="AY6" s="10" t="str">
        <f t="shared" ca="1" si="5"/>
        <v>M</v>
      </c>
      <c r="AZ6" s="10" t="str">
        <f t="shared" ca="1" si="5"/>
        <v>T</v>
      </c>
      <c r="BA6" s="10" t="str">
        <f t="shared" ca="1" si="5"/>
        <v>W</v>
      </c>
      <c r="BB6" s="10" t="str">
        <f t="shared" ca="1" si="5"/>
        <v>T</v>
      </c>
      <c r="BC6" s="10" t="str">
        <f t="shared" ca="1" si="5"/>
        <v>F</v>
      </c>
      <c r="BD6" s="10" t="str">
        <f t="shared" ca="1" si="5"/>
        <v>S</v>
      </c>
      <c r="BE6" s="10" t="str">
        <f t="shared" ca="1" si="5"/>
        <v>S</v>
      </c>
      <c r="BF6" s="10" t="str">
        <f t="shared" ca="1" si="5"/>
        <v>M</v>
      </c>
      <c r="BG6" s="10" t="str">
        <f t="shared" ca="1" si="5"/>
        <v>T</v>
      </c>
      <c r="BH6" s="10" t="str">
        <f t="shared" ca="1" si="5"/>
        <v>W</v>
      </c>
      <c r="BI6" s="10" t="str">
        <f t="shared" ca="1" si="5"/>
        <v>T</v>
      </c>
      <c r="BJ6" s="10" t="str">
        <f t="shared" ca="1" si="5"/>
        <v>F</v>
      </c>
      <c r="BK6" s="10" t="str">
        <f t="shared" ca="1" si="5"/>
        <v>S</v>
      </c>
      <c r="BL6" s="10" t="str">
        <f t="shared" ca="1" si="5"/>
        <v>S</v>
      </c>
    </row>
    <row r="7" spans="1:64"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46" t="s">
        <v>7</v>
      </c>
      <c r="B8" s="15" t="s">
        <v>40</v>
      </c>
      <c r="C8" s="52"/>
      <c r="D8" s="16"/>
      <c r="E8" s="70"/>
      <c r="F8" s="71"/>
      <c r="G8" s="14"/>
      <c r="H8" s="14" t="str">
        <f t="shared" ref="H8:H22"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8</v>
      </c>
      <c r="B9" s="61" t="s">
        <v>41</v>
      </c>
      <c r="C9" s="53"/>
      <c r="D9" s="17"/>
      <c r="E9" s="72">
        <f ca="1">Project_Start</f>
        <v>45245</v>
      </c>
      <c r="F9" s="72">
        <f ca="1">E9+14</f>
        <v>45259</v>
      </c>
      <c r="G9" s="14"/>
      <c r="H9" s="14">
        <f t="shared" ca="1" si="6"/>
        <v>15</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9</v>
      </c>
      <c r="B10" s="61" t="s">
        <v>42</v>
      </c>
      <c r="C10" s="53"/>
      <c r="D10" s="17"/>
      <c r="E10" s="72">
        <f ca="1">F9</f>
        <v>45259</v>
      </c>
      <c r="F10" s="72">
        <f ca="1">E10+14</f>
        <v>45273</v>
      </c>
      <c r="G10" s="14"/>
      <c r="H10" s="14">
        <f t="shared" ca="1" si="6"/>
        <v>15</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
      <c r="A11" s="46" t="s">
        <v>10</v>
      </c>
      <c r="B11" s="18" t="s">
        <v>43</v>
      </c>
      <c r="C11" s="54"/>
      <c r="D11" s="19"/>
      <c r="E11" s="73"/>
      <c r="F11" s="74"/>
      <c r="G11" s="14"/>
      <c r="H11" s="14" t="str">
        <f t="shared" si="6"/>
        <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
      <c r="A12" s="46"/>
      <c r="B12" s="62" t="s">
        <v>44</v>
      </c>
      <c r="C12" s="55"/>
      <c r="D12" s="20"/>
      <c r="E12" s="75">
        <v>45320</v>
      </c>
      <c r="F12" s="75">
        <f>E12+14</f>
        <v>45334</v>
      </c>
      <c r="G12" s="14"/>
      <c r="H12" s="14">
        <f t="shared" si="6"/>
        <v>15</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
      <c r="A13" s="45"/>
      <c r="B13" s="62" t="s">
        <v>45</v>
      </c>
      <c r="C13" s="55"/>
      <c r="D13" s="20"/>
      <c r="E13" s="75">
        <f>F12</f>
        <v>45334</v>
      </c>
      <c r="F13" s="75">
        <f>E13+14</f>
        <v>45348</v>
      </c>
      <c r="G13" s="14"/>
      <c r="H13" s="14">
        <f t="shared" si="6"/>
        <v>15</v>
      </c>
      <c r="I13" s="31"/>
      <c r="J13" s="31"/>
      <c r="K13" s="31"/>
      <c r="L13" s="31"/>
      <c r="M13" s="31"/>
      <c r="N13" s="31"/>
      <c r="O13" s="31"/>
      <c r="P13" s="31"/>
      <c r="Q13" s="31"/>
      <c r="R13" s="31"/>
      <c r="S13" s="31"/>
      <c r="T13" s="31"/>
      <c r="U13" s="32"/>
      <c r="V13" s="32"/>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45"/>
      <c r="B14" s="62" t="s">
        <v>46</v>
      </c>
      <c r="C14" s="55"/>
      <c r="D14" s="20"/>
      <c r="E14" s="75">
        <f>F13</f>
        <v>45348</v>
      </c>
      <c r="F14" s="75">
        <f>E14+14</f>
        <v>45362</v>
      </c>
      <c r="G14" s="14"/>
      <c r="H14" s="14">
        <f t="shared" si="6"/>
        <v>15</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5" t="s">
        <v>11</v>
      </c>
      <c r="B15" s="21" t="s">
        <v>47</v>
      </c>
      <c r="C15" s="56"/>
      <c r="D15" s="22"/>
      <c r="E15" s="76"/>
      <c r="F15" s="77"/>
      <c r="G15" s="14"/>
      <c r="H15" s="14" t="str">
        <f t="shared" si="6"/>
        <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3" t="s">
        <v>48</v>
      </c>
      <c r="C16" s="57"/>
      <c r="D16" s="23"/>
      <c r="E16" s="78">
        <f>F14</f>
        <v>45362</v>
      </c>
      <c r="F16" s="78">
        <f>E16+7</f>
        <v>45369</v>
      </c>
      <c r="G16" s="14"/>
      <c r="H16" s="14">
        <f t="shared" si="6"/>
        <v>8</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3" t="s">
        <v>49</v>
      </c>
      <c r="C17" s="57"/>
      <c r="D17" s="23"/>
      <c r="E17" s="78">
        <f>F16</f>
        <v>45369</v>
      </c>
      <c r="F17" s="78">
        <f>E17+7</f>
        <v>45376</v>
      </c>
      <c r="G17" s="14"/>
      <c r="H17" s="14">
        <f t="shared" si="6"/>
        <v>8</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t="s">
        <v>11</v>
      </c>
      <c r="B18" s="24" t="s">
        <v>50</v>
      </c>
      <c r="C18" s="58"/>
      <c r="D18" s="25"/>
      <c r="E18" s="79"/>
      <c r="F18" s="80"/>
      <c r="G18" s="14"/>
      <c r="H18" s="14" t="str">
        <f t="shared" si="6"/>
        <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4" t="s">
        <v>51</v>
      </c>
      <c r="C19" s="59"/>
      <c r="D19" s="26"/>
      <c r="E19" s="81">
        <f>F17</f>
        <v>45376</v>
      </c>
      <c r="F19" s="81">
        <f>E19+14</f>
        <v>45390</v>
      </c>
      <c r="G19" s="14"/>
      <c r="H19" s="14">
        <f t="shared" si="6"/>
        <v>15</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c r="B20" s="64" t="s">
        <v>52</v>
      </c>
      <c r="C20" s="59"/>
      <c r="D20" s="26"/>
      <c r="E20" s="81">
        <f>E19</f>
        <v>45376</v>
      </c>
      <c r="F20" s="81">
        <f>F19</f>
        <v>45390</v>
      </c>
      <c r="G20" s="14"/>
      <c r="H20" s="14">
        <f t="shared" si="6"/>
        <v>15</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t="s">
        <v>12</v>
      </c>
      <c r="B21" s="65"/>
      <c r="C21" s="60"/>
      <c r="D21" s="13"/>
      <c r="E21" s="82"/>
      <c r="F21" s="82"/>
      <c r="G21" s="14"/>
      <c r="H21" s="14" t="str">
        <f t="shared" si="6"/>
        <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6" t="s">
        <v>13</v>
      </c>
      <c r="B22" s="27" t="s">
        <v>15</v>
      </c>
      <c r="C22" s="28"/>
      <c r="D22" s="29"/>
      <c r="E22" s="83"/>
      <c r="F22" s="84"/>
      <c r="G22" s="30"/>
      <c r="H22" s="30" t="str">
        <f t="shared" si="6"/>
        <v/>
      </c>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row>
    <row r="23" spans="1:64" ht="30" customHeight="1" x14ac:dyDescent="0.25">
      <c r="G23" s="6"/>
    </row>
    <row r="24" spans="1:64" ht="30" customHeight="1" x14ac:dyDescent="0.25">
      <c r="C24" s="11"/>
      <c r="F24" s="47"/>
    </row>
    <row r="25" spans="1:64" ht="30" customHeight="1" x14ac:dyDescent="0.25">
      <c r="C25"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2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2">
    <cfRule type="expression" dxfId="2" priority="33">
      <formula>AND(TODAY()&gt;=I$5,TODAY()&lt;J$5)</formula>
    </cfRule>
  </conditionalFormatting>
  <conditionalFormatting sqref="I7:BL22">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23</v>
      </c>
      <c r="B2" s="36"/>
    </row>
    <row r="3" spans="1:2" s="41" customFormat="1" ht="27" customHeight="1" x14ac:dyDescent="0.25">
      <c r="A3" s="69" t="s">
        <v>24</v>
      </c>
      <c r="B3" s="42"/>
    </row>
    <row r="4" spans="1:2" s="38" customFormat="1" ht="26.25" x14ac:dyDescent="0.4">
      <c r="A4" s="39" t="s">
        <v>25</v>
      </c>
    </row>
    <row r="5" spans="1:2" ht="74.099999999999994" customHeight="1" x14ac:dyDescent="0.2">
      <c r="A5" s="40" t="s">
        <v>26</v>
      </c>
    </row>
    <row r="6" spans="1:2" ht="26.25" customHeight="1" x14ac:dyDescent="0.2">
      <c r="A6" s="39" t="s">
        <v>27</v>
      </c>
    </row>
    <row r="7" spans="1:2" s="35" customFormat="1" ht="204.95" customHeight="1" x14ac:dyDescent="0.25">
      <c r="A7" s="44" t="s">
        <v>28</v>
      </c>
    </row>
    <row r="8" spans="1:2" s="38" customFormat="1" ht="26.25" x14ac:dyDescent="0.4">
      <c r="A8" s="39" t="s">
        <v>29</v>
      </c>
    </row>
    <row r="9" spans="1:2" ht="60" x14ac:dyDescent="0.2">
      <c r="A9" s="40" t="s">
        <v>30</v>
      </c>
    </row>
    <row r="10" spans="1:2" s="35" customFormat="1" ht="27.95" customHeight="1" x14ac:dyDescent="0.25">
      <c r="A10" s="43" t="s">
        <v>31</v>
      </c>
    </row>
    <row r="11" spans="1:2" s="38" customFormat="1" ht="26.25" x14ac:dyDescent="0.4">
      <c r="A11" s="39" t="s">
        <v>32</v>
      </c>
    </row>
    <row r="12" spans="1:2" ht="30" x14ac:dyDescent="0.2">
      <c r="A12" s="40" t="s">
        <v>33</v>
      </c>
    </row>
    <row r="13" spans="1:2" s="35" customFormat="1" ht="27.95" customHeight="1" x14ac:dyDescent="0.25">
      <c r="A13" s="43" t="s">
        <v>34</v>
      </c>
    </row>
    <row r="14" spans="1:2" s="38" customFormat="1" ht="26.25" x14ac:dyDescent="0.4">
      <c r="A14" s="39" t="s">
        <v>35</v>
      </c>
    </row>
    <row r="15" spans="1:2" ht="75" customHeight="1" x14ac:dyDescent="0.2">
      <c r="A15" s="40" t="s">
        <v>36</v>
      </c>
    </row>
    <row r="16" spans="1:2" ht="75" x14ac:dyDescent="0.2">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2023-11-15T17:12:55Z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